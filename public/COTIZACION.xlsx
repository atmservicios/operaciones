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paginaoperaciones\public\"/>
    </mc:Choice>
  </mc:AlternateContent>
  <xr:revisionPtr revIDLastSave="0" documentId="8_{4BB5A7B9-9B65-4396-B82E-A78C6A27CE70}" xr6:coauthVersionLast="47" xr6:coauthVersionMax="47" xr10:uidLastSave="{00000000-0000-0000-0000-000000000000}"/>
  <bookViews>
    <workbookView xWindow="780" yWindow="780" windowWidth="15375" windowHeight="7875" xr2:uid="{0101B0D1-F5E3-4809-BD64-012FF3077BDD}"/>
  </bookViews>
  <sheets>
    <sheet name="Movimiento de ATM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3" l="1"/>
  <c r="J39" i="3"/>
  <c r="C11" i="3"/>
  <c r="J40" i="3"/>
</calcChain>
</file>

<file path=xl/sharedStrings.xml><?xml version="1.0" encoding="utf-8"?>
<sst xmlns="http://schemas.openxmlformats.org/spreadsheetml/2006/main" count="42" uniqueCount="41">
  <si>
    <t>N°</t>
  </si>
  <si>
    <t>Señor (es)</t>
  </si>
  <si>
    <t>CANT.</t>
  </si>
  <si>
    <t>DESCRIPCION</t>
  </si>
  <si>
    <t>VALOR UNIT</t>
  </si>
  <si>
    <t>VALOR TOTAL</t>
  </si>
  <si>
    <t>IVA</t>
  </si>
  <si>
    <t>Atentamente</t>
  </si>
  <si>
    <t>Jorge Urra U.</t>
  </si>
  <si>
    <t xml:space="preserve">Catedral #5880      </t>
  </si>
  <si>
    <t xml:space="preserve">Fono: 7744476      </t>
  </si>
  <si>
    <t xml:space="preserve">Lo Prado - Santiago </t>
  </si>
  <si>
    <t>Fecha</t>
  </si>
  <si>
    <t>Atencion</t>
  </si>
  <si>
    <t xml:space="preserve">                   SOCIEDAD DE MANTENCION INTEGRAL DE ATM´S Y SERVICIOS DE AUTOMATIZACION BANCARIA LTDA.</t>
  </si>
  <si>
    <t>NETO</t>
  </si>
  <si>
    <t>BRUTO</t>
  </si>
  <si>
    <t>Catedral #5880, Lo Prado Santiago</t>
  </si>
  <si>
    <t xml:space="preserve">    RUT</t>
  </si>
  <si>
    <t xml:space="preserve">    Email contacto</t>
  </si>
  <si>
    <t>NOTA:</t>
  </si>
  <si>
    <t>Plazo de entrega    :</t>
  </si>
  <si>
    <t>Validacion de cotizacion :</t>
  </si>
  <si>
    <t>5 dias</t>
  </si>
  <si>
    <t>3 dias</t>
  </si>
  <si>
    <t xml:space="preserve">                                       Reparación de maquinarias        RUT: 76.049.304-K      </t>
  </si>
  <si>
    <t xml:space="preserve">     C O T I Z A C I O N</t>
  </si>
  <si>
    <t>Celular: 9 44771425</t>
  </si>
  <si>
    <t>Fono   944771425</t>
  </si>
  <si>
    <t>SANTANDER</t>
  </si>
  <si>
    <t>Mano Obra Eléctrico</t>
  </si>
  <si>
    <t>Zapatilla</t>
  </si>
  <si>
    <t>Acondicionador de linea</t>
  </si>
  <si>
    <t xml:space="preserve">DIRECCIÓN: </t>
  </si>
  <si>
    <t>Enchufe magic</t>
  </si>
  <si>
    <t>Traslado</t>
  </si>
  <si>
    <t>VISITA ELECTRICA ATM 6423</t>
  </si>
  <si>
    <t xml:space="preserve">TIENDA PRONTO COPEC MALL PLAZA </t>
  </si>
  <si>
    <t>EL TREBOL CONCEPCION</t>
  </si>
  <si>
    <t>CAMILA GARCIA</t>
  </si>
  <si>
    <t>24-2026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</si>
</sst>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5" formatCode="_ &quot;$&quot;\ * #,##0.00_ ;_ &quot;$&quot;\ * \-#,##0.00_ ;_ &quot;$&quot;\ * &quot;-&quot;??_ ;_ @_ "/>
    <numFmt numFmtId="186" formatCode="&quot;$&quot;#,##0"/>
    <numFmt numFmtId="187" formatCode="&quot;$&quot;#,##0.00"/>
    <numFmt numFmtId="194" formatCode="_ &quot;$&quot;\ * #,##0_ ;_ &quot;$&quot;\ * \-#,##0_ ;_ &quot;$&quot;\ * &quot;-&quot;??_ ;_ @_ "/>
    <numFmt numFmtId="199" formatCode="_-* #,##0_-;\-* #,##0_-;_-* &quot;-&quot;?_-;_-@_-"/>
  </numFmts>
  <fonts count="37">
    <font>
      <sz val="11"/>
      <color indexed="8"/>
      <name val="Helvetica Neue"/>
    </font>
    <font>
      <sz val="11"/>
      <color indexed="9"/>
      <name val="Helvetica Neue"/>
    </font>
    <font>
      <sz val="18"/>
      <color indexed="9"/>
      <name val="Tahoma Bold"/>
    </font>
    <font>
      <u/>
      <sz val="18"/>
      <color indexed="9"/>
      <name val="Tahoma Bold"/>
    </font>
    <font>
      <b/>
      <sz val="36"/>
      <color indexed="9"/>
      <name val="Lucida Grande"/>
    </font>
    <font>
      <sz val="20"/>
      <color indexed="9"/>
      <name val="Tahoma Bold"/>
    </font>
    <font>
      <sz val="26"/>
      <color indexed="9"/>
      <name val="Brush Script MT Italic"/>
    </font>
    <font>
      <sz val="8"/>
      <name val="Helvetica Neue"/>
    </font>
    <font>
      <b/>
      <sz val="20"/>
      <color indexed="8"/>
      <name val="Century Gothic"/>
      <family val="2"/>
    </font>
    <font>
      <sz val="20"/>
      <color indexed="9"/>
      <name val="Helvetica Neue"/>
    </font>
    <font>
      <sz val="20"/>
      <color indexed="8"/>
      <name val="Century Gothic"/>
      <family val="2"/>
    </font>
    <font>
      <sz val="20"/>
      <color indexed="9"/>
      <name val="Century Gothic"/>
      <family val="2"/>
    </font>
    <font>
      <sz val="18"/>
      <name val="Tahoma Bold"/>
    </font>
    <font>
      <b/>
      <sz val="20"/>
      <color indexed="9"/>
      <name val="Helvetica Neue"/>
    </font>
    <font>
      <b/>
      <sz val="20"/>
      <color indexed="9"/>
      <name val="Tahoma Bold"/>
    </font>
    <font>
      <b/>
      <sz val="22"/>
      <color indexed="9"/>
      <name val="Tahoma Bold"/>
    </font>
    <font>
      <b/>
      <sz val="22"/>
      <color indexed="9"/>
      <name val="Helvetica Neue"/>
    </font>
    <font>
      <sz val="36"/>
      <color indexed="9"/>
      <name val="Helvetica Neue"/>
    </font>
    <font>
      <sz val="24"/>
      <color indexed="9"/>
      <name val="Tahoma Bold"/>
    </font>
    <font>
      <sz val="11"/>
      <color indexed="9"/>
      <name val="Century"/>
      <family val="1"/>
    </font>
    <font>
      <sz val="20"/>
      <color indexed="9"/>
      <name val="Century"/>
      <family val="1"/>
    </font>
    <font>
      <b/>
      <i/>
      <u/>
      <sz val="22"/>
      <color indexed="9"/>
      <name val="Century"/>
      <family val="1"/>
    </font>
    <font>
      <b/>
      <sz val="20"/>
      <color indexed="9"/>
      <name val="Arial"/>
      <family val="2"/>
    </font>
    <font>
      <b/>
      <sz val="18"/>
      <color indexed="9"/>
      <name val="Arial"/>
      <family val="2"/>
    </font>
    <font>
      <b/>
      <i/>
      <u/>
      <sz val="26"/>
      <color indexed="9"/>
      <name val="Century"/>
      <family val="1"/>
    </font>
    <font>
      <sz val="20"/>
      <color theme="0"/>
      <name val="Century Gothic"/>
      <family val="2"/>
    </font>
    <font>
      <b/>
      <sz val="22"/>
      <color rgb="FF000000"/>
      <name val="Century Gothic"/>
      <family val="2"/>
    </font>
    <font>
      <sz val="11"/>
      <color theme="1"/>
      <name val="Helvetica Neue"/>
    </font>
    <font>
      <sz val="22"/>
      <color rgb="FF000000"/>
      <name val="Century Gothic"/>
      <family val="2"/>
    </font>
    <font>
      <b/>
      <sz val="22"/>
      <color rgb="FF000000"/>
      <name val="Century"/>
      <family val="1"/>
    </font>
    <font>
      <b/>
      <sz val="18"/>
      <color rgb="FF000000"/>
      <name val="Arial"/>
      <family val="2"/>
    </font>
    <font>
      <sz val="18"/>
      <color rgb="FF000000"/>
      <name val="Arial"/>
      <family val="2"/>
    </font>
    <font>
      <sz val="20"/>
      <color indexed="9"/>
      <name val="Cambria"/>
      <family val="1"/>
      <scheme val="major"/>
    </font>
    <font>
      <sz val="20"/>
      <color rgb="FFFF0000"/>
      <name val="Helvetica Neue"/>
    </font>
    <font>
      <sz val="18"/>
      <color theme="0"/>
      <name val="Tahoma Bold"/>
    </font>
    <font>
      <b/>
      <i/>
      <u/>
      <sz val="26"/>
      <color rgb="FF000000"/>
      <name val="Century"/>
      <family val="1"/>
    </font>
    <font>
      <b/>
      <sz val="18"/>
      <color theme="1"/>
      <name val="Tahoma Bold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/>
    </xf>
    <xf numFmtId="185" fontId="1" fillId="0" borderId="0" applyFont="0" applyFill="0" applyBorder="0" applyAlignment="0" applyProtection="0"/>
  </cellStyleXfs>
  <cellXfs count="135">
    <xf numFmtId="0" fontId="0" fillId="0" borderId="0" xfId="0" applyAlignment="1"/>
    <xf numFmtId="0" fontId="1" fillId="0" borderId="0" xfId="0" applyNumberFormat="1" applyFont="1" applyAlignment="1">
      <alignment vertical="top"/>
    </xf>
    <xf numFmtId="0" fontId="2" fillId="2" borderId="0" xfId="0" applyNumberFormat="1" applyFont="1" applyFill="1" applyBorder="1" applyAlignment="1"/>
    <xf numFmtId="186" fontId="2" fillId="2" borderId="0" xfId="0" applyNumberFormat="1" applyFont="1" applyFill="1" applyBorder="1" applyAlignment="1"/>
    <xf numFmtId="0" fontId="2" fillId="2" borderId="0" xfId="0" applyNumberFormat="1" applyFont="1" applyFill="1" applyBorder="1" applyAlignment="1">
      <alignment horizontal="left"/>
    </xf>
    <xf numFmtId="0" fontId="5" fillId="2" borderId="0" xfId="0" applyNumberFormat="1" applyFont="1" applyFill="1" applyBorder="1" applyAlignment="1">
      <alignment horizontal="left"/>
    </xf>
    <xf numFmtId="0" fontId="2" fillId="2" borderId="1" xfId="0" applyNumberFormat="1" applyFont="1" applyFill="1" applyBorder="1" applyAlignment="1"/>
    <xf numFmtId="0" fontId="5" fillId="2" borderId="0" xfId="0" applyNumberFormat="1" applyFont="1" applyFill="1" applyBorder="1" applyAlignment="1"/>
    <xf numFmtId="0" fontId="6" fillId="2" borderId="2" xfId="0" applyNumberFormat="1" applyFont="1" applyFill="1" applyBorder="1" applyAlignment="1"/>
    <xf numFmtId="0" fontId="9" fillId="0" borderId="0" xfId="0" applyNumberFormat="1" applyFont="1" applyAlignment="1">
      <alignment vertical="top"/>
    </xf>
    <xf numFmtId="0" fontId="8" fillId="0" borderId="3" xfId="0" applyFont="1" applyBorder="1" applyAlignment="1"/>
    <xf numFmtId="0" fontId="10" fillId="0" borderId="3" xfId="0" applyFont="1" applyBorder="1" applyAlignment="1"/>
    <xf numFmtId="194" fontId="1" fillId="0" borderId="0" xfId="1" applyNumberFormat="1" applyFont="1" applyAlignment="1">
      <alignment vertical="top"/>
    </xf>
    <xf numFmtId="194" fontId="2" fillId="2" borderId="0" xfId="1" applyNumberFormat="1" applyFont="1" applyFill="1" applyBorder="1" applyAlignment="1"/>
    <xf numFmtId="186" fontId="25" fillId="2" borderId="0" xfId="0" applyNumberFormat="1" applyFont="1" applyFill="1" applyBorder="1" applyAlignment="1"/>
    <xf numFmtId="194" fontId="12" fillId="2" borderId="0" xfId="1" applyNumberFormat="1" applyFont="1" applyFill="1" applyBorder="1" applyAlignment="1"/>
    <xf numFmtId="0" fontId="26" fillId="0" borderId="0" xfId="0" applyFont="1" applyBorder="1" applyAlignment="1">
      <alignment vertical="top" wrapText="1"/>
    </xf>
    <xf numFmtId="0" fontId="27" fillId="3" borderId="0" xfId="0" applyNumberFormat="1" applyFont="1" applyFill="1" applyAlignment="1">
      <alignment vertical="top"/>
    </xf>
    <xf numFmtId="0" fontId="14" fillId="2" borderId="0" xfId="0" applyNumberFormat="1" applyFont="1" applyFill="1" applyBorder="1" applyAlignment="1"/>
    <xf numFmtId="0" fontId="15" fillId="4" borderId="0" xfId="0" applyNumberFormat="1" applyFont="1" applyFill="1" applyBorder="1" applyAlignment="1">
      <alignment vertical="center"/>
    </xf>
    <xf numFmtId="0" fontId="15" fillId="4" borderId="0" xfId="0" applyNumberFormat="1" applyFont="1" applyFill="1" applyBorder="1" applyAlignment="1"/>
    <xf numFmtId="0" fontId="2" fillId="4" borderId="0" xfId="0" applyNumberFormat="1" applyFont="1" applyFill="1" applyBorder="1" applyAlignment="1"/>
    <xf numFmtId="0" fontId="2" fillId="4" borderId="0" xfId="0" applyNumberFormat="1" applyFont="1" applyFill="1" applyBorder="1" applyAlignment="1">
      <alignment vertical="center"/>
    </xf>
    <xf numFmtId="0" fontId="15" fillId="4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>
      <alignment horizontal="center"/>
    </xf>
    <xf numFmtId="0" fontId="2" fillId="5" borderId="0" xfId="0" applyNumberFormat="1" applyFont="1" applyFill="1" applyBorder="1" applyAlignment="1"/>
    <xf numFmtId="194" fontId="2" fillId="5" borderId="0" xfId="1" applyNumberFormat="1" applyFont="1" applyFill="1" applyBorder="1" applyAlignment="1"/>
    <xf numFmtId="0" fontId="4" fillId="2" borderId="0" xfId="0" applyNumberFormat="1" applyFont="1" applyFill="1" applyBorder="1" applyAlignment="1">
      <alignment horizontal="right"/>
    </xf>
    <xf numFmtId="0" fontId="1" fillId="4" borderId="4" xfId="0" applyNumberFormat="1" applyFont="1" applyFill="1" applyBorder="1" applyAlignment="1">
      <alignment vertical="top"/>
    </xf>
    <xf numFmtId="0" fontId="16" fillId="4" borderId="5" xfId="0" applyNumberFormat="1" applyFont="1" applyFill="1" applyBorder="1" applyAlignment="1">
      <alignment vertical="top"/>
    </xf>
    <xf numFmtId="0" fontId="15" fillId="4" borderId="5" xfId="0" applyNumberFormat="1" applyFont="1" applyFill="1" applyBorder="1" applyAlignment="1"/>
    <xf numFmtId="0" fontId="1" fillId="4" borderId="5" xfId="0" applyNumberFormat="1" applyFont="1" applyFill="1" applyBorder="1" applyAlignment="1">
      <alignment vertical="top"/>
    </xf>
    <xf numFmtId="0" fontId="1" fillId="4" borderId="6" xfId="0" applyNumberFormat="1" applyFont="1" applyFill="1" applyBorder="1" applyAlignment="1">
      <alignment vertical="top"/>
    </xf>
    <xf numFmtId="0" fontId="16" fillId="4" borderId="0" xfId="0" applyNumberFormat="1" applyFont="1" applyFill="1" applyBorder="1" applyAlignment="1">
      <alignment vertical="top"/>
    </xf>
    <xf numFmtId="0" fontId="2" fillId="4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vertical="top"/>
    </xf>
    <xf numFmtId="0" fontId="1" fillId="4" borderId="7" xfId="0" applyNumberFormat="1" applyFont="1" applyFill="1" applyBorder="1" applyAlignment="1">
      <alignment vertical="top"/>
    </xf>
    <xf numFmtId="0" fontId="1" fillId="4" borderId="8" xfId="0" applyNumberFormat="1" applyFont="1" applyFill="1" applyBorder="1" applyAlignment="1">
      <alignment vertical="top"/>
    </xf>
    <xf numFmtId="0" fontId="2" fillId="4" borderId="8" xfId="0" applyNumberFormat="1" applyFont="1" applyFill="1" applyBorder="1" applyAlignment="1"/>
    <xf numFmtId="186" fontId="4" fillId="2" borderId="5" xfId="0" applyNumberFormat="1" applyFont="1" applyFill="1" applyBorder="1" applyAlignment="1"/>
    <xf numFmtId="0" fontId="1" fillId="0" borderId="3" xfId="0" applyNumberFormat="1" applyFont="1" applyBorder="1" applyAlignment="1">
      <alignment vertical="top"/>
    </xf>
    <xf numFmtId="0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Border="1" applyAlignment="1">
      <alignment vertical="top"/>
    </xf>
    <xf numFmtId="0" fontId="8" fillId="0" borderId="0" xfId="0" applyFont="1" applyBorder="1" applyAlignment="1"/>
    <xf numFmtId="0" fontId="9" fillId="0" borderId="0" xfId="0" applyNumberFormat="1" applyFont="1" applyBorder="1" applyAlignment="1">
      <alignment vertical="top"/>
    </xf>
    <xf numFmtId="14" fontId="2" fillId="2" borderId="0" xfId="0" applyNumberFormat="1" applyFont="1" applyFill="1" applyBorder="1" applyAlignment="1"/>
    <xf numFmtId="0" fontId="6" fillId="2" borderId="0" xfId="0" applyNumberFormat="1" applyFont="1" applyFill="1" applyBorder="1" applyAlignment="1"/>
    <xf numFmtId="0" fontId="5" fillId="2" borderId="0" xfId="0" applyNumberFormat="1" applyFont="1" applyFill="1" applyBorder="1" applyAlignment="1">
      <alignment horizontal="center" vertical="center"/>
    </xf>
    <xf numFmtId="187" fontId="5" fillId="2" borderId="0" xfId="0" applyNumberFormat="1" applyFont="1" applyFill="1" applyBorder="1" applyAlignment="1"/>
    <xf numFmtId="194" fontId="5" fillId="2" borderId="0" xfId="1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/>
    </xf>
    <xf numFmtId="199" fontId="11" fillId="2" borderId="0" xfId="1" applyNumberFormat="1" applyFont="1" applyFill="1" applyBorder="1" applyAlignment="1">
      <alignment horizontal="center"/>
    </xf>
    <xf numFmtId="194" fontId="11" fillId="2" borderId="0" xfId="1" applyNumberFormat="1" applyFont="1" applyFill="1" applyBorder="1" applyAlignment="1">
      <alignment horizontal="center"/>
    </xf>
    <xf numFmtId="0" fontId="13" fillId="0" borderId="0" xfId="0" applyNumberFormat="1" applyFont="1" applyBorder="1" applyAlignment="1">
      <alignment vertical="top"/>
    </xf>
    <xf numFmtId="0" fontId="5" fillId="4" borderId="0" xfId="0" applyNumberFormat="1" applyFont="1" applyFill="1" applyBorder="1" applyAlignment="1"/>
    <xf numFmtId="0" fontId="5" fillId="4" borderId="0" xfId="0" applyNumberFormat="1" applyFont="1" applyFill="1" applyBorder="1" applyAlignment="1">
      <alignment horizontal="left"/>
    </xf>
    <xf numFmtId="0" fontId="5" fillId="3" borderId="0" xfId="0" applyNumberFormat="1" applyFont="1" applyFill="1" applyBorder="1" applyAlignment="1"/>
    <xf numFmtId="194" fontId="5" fillId="3" borderId="0" xfId="1" applyNumberFormat="1" applyFont="1" applyFill="1" applyBorder="1" applyAlignment="1">
      <alignment horizontal="center"/>
    </xf>
    <xf numFmtId="9" fontId="5" fillId="3" borderId="0" xfId="0" applyNumberFormat="1" applyFont="1" applyFill="1" applyBorder="1" applyAlignment="1"/>
    <xf numFmtId="194" fontId="2" fillId="3" borderId="0" xfId="1" applyNumberFormat="1" applyFont="1" applyFill="1" applyBorder="1" applyAlignment="1"/>
    <xf numFmtId="0" fontId="18" fillId="2" borderId="4" xfId="0" applyNumberFormat="1" applyFont="1" applyFill="1" applyBorder="1" applyAlignment="1"/>
    <xf numFmtId="0" fontId="18" fillId="2" borderId="6" xfId="0" applyNumberFormat="1" applyFont="1" applyFill="1" applyBorder="1" applyAlignment="1"/>
    <xf numFmtId="0" fontId="18" fillId="2" borderId="7" xfId="0" applyNumberFormat="1" applyFont="1" applyFill="1" applyBorder="1" applyAlignment="1"/>
    <xf numFmtId="0" fontId="14" fillId="2" borderId="0" xfId="0" applyNumberFormat="1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top" wrapText="1"/>
    </xf>
    <xf numFmtId="0" fontId="11" fillId="2" borderId="0" xfId="1" applyNumberFormat="1" applyFont="1" applyFill="1" applyBorder="1" applyAlignment="1">
      <alignment horizontal="center"/>
    </xf>
    <xf numFmtId="0" fontId="19" fillId="0" borderId="0" xfId="0" applyNumberFormat="1" applyFont="1" applyBorder="1" applyAlignment="1">
      <alignment vertical="top"/>
    </xf>
    <xf numFmtId="0" fontId="29" fillId="0" borderId="0" xfId="0" applyFont="1" applyBorder="1" applyAlignment="1">
      <alignment vertical="top" wrapText="1"/>
    </xf>
    <xf numFmtId="0" fontId="20" fillId="0" borderId="0" xfId="0" applyNumberFormat="1" applyFont="1" applyBorder="1" applyAlignment="1">
      <alignment vertical="top"/>
    </xf>
    <xf numFmtId="0" fontId="21" fillId="0" borderId="0" xfId="0" applyNumberFormat="1" applyFont="1" applyBorder="1" applyAlignment="1">
      <alignment vertical="top"/>
    </xf>
    <xf numFmtId="0" fontId="22" fillId="0" borderId="0" xfId="0" applyNumberFormat="1" applyFont="1" applyBorder="1" applyAlignment="1">
      <alignment vertical="top"/>
    </xf>
    <xf numFmtId="0" fontId="23" fillId="0" borderId="0" xfId="0" applyNumberFormat="1" applyFont="1" applyBorder="1" applyAlignment="1">
      <alignment vertical="top"/>
    </xf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>
      <alignment horizontal="center" vertical="top" wrapText="1"/>
    </xf>
    <xf numFmtId="0" fontId="32" fillId="0" borderId="0" xfId="0" applyNumberFormat="1" applyFont="1" applyAlignment="1">
      <alignment vertical="top"/>
    </xf>
    <xf numFmtId="0" fontId="33" fillId="0" borderId="0" xfId="0" applyNumberFormat="1" applyFont="1" applyAlignment="1">
      <alignment vertical="top"/>
    </xf>
    <xf numFmtId="0" fontId="24" fillId="0" borderId="0" xfId="0" applyNumberFormat="1" applyFont="1" applyBorder="1" applyAlignment="1">
      <alignment vertical="top"/>
    </xf>
    <xf numFmtId="194" fontId="33" fillId="0" borderId="0" xfId="0" applyNumberFormat="1" applyFont="1" applyAlignment="1">
      <alignment vertical="top"/>
    </xf>
    <xf numFmtId="0" fontId="5" fillId="3" borderId="0" xfId="0" applyNumberFormat="1" applyFont="1" applyFill="1" applyBorder="1" applyAlignment="1">
      <alignment horizontal="left"/>
    </xf>
    <xf numFmtId="0" fontId="16" fillId="4" borderId="0" xfId="0" applyNumberFormat="1" applyFont="1" applyFill="1" applyBorder="1" applyAlignment="1">
      <alignment horizontal="center" vertical="top"/>
    </xf>
    <xf numFmtId="0" fontId="13" fillId="0" borderId="0" xfId="0" applyNumberFormat="1" applyFont="1" applyBorder="1">
      <alignment vertical="top"/>
    </xf>
    <xf numFmtId="194" fontId="11" fillId="2" borderId="0" xfId="1" applyNumberFormat="1" applyFont="1" applyFill="1" applyBorder="1" applyAlignment="1"/>
    <xf numFmtId="0" fontId="2" fillId="2" borderId="9" xfId="0" applyNumberFormat="1" applyFont="1" applyFill="1" applyBorder="1" applyAlignment="1"/>
    <xf numFmtId="0" fontId="2" fillId="2" borderId="10" xfId="0" applyNumberFormat="1" applyFont="1" applyFill="1" applyBorder="1" applyAlignment="1"/>
    <xf numFmtId="194" fontId="2" fillId="2" borderId="10" xfId="1" applyNumberFormat="1" applyFont="1" applyFill="1" applyBorder="1" applyAlignment="1"/>
    <xf numFmtId="0" fontId="2" fillId="2" borderId="11" xfId="0" applyNumberFormat="1" applyFont="1" applyFill="1" applyBorder="1" applyAlignment="1"/>
    <xf numFmtId="0" fontId="2" fillId="2" borderId="12" xfId="0" applyNumberFormat="1" applyFont="1" applyFill="1" applyBorder="1" applyAlignment="1"/>
    <xf numFmtId="0" fontId="1" fillId="0" borderId="12" xfId="0" applyNumberFormat="1" applyFont="1" applyBorder="1" applyAlignment="1">
      <alignment vertical="top"/>
    </xf>
    <xf numFmtId="0" fontId="2" fillId="4" borderId="13" xfId="0" applyNumberFormat="1" applyFont="1" applyFill="1" applyBorder="1" applyAlignment="1">
      <alignment vertical="center"/>
    </xf>
    <xf numFmtId="0" fontId="2" fillId="4" borderId="13" xfId="0" applyNumberFormat="1" applyFont="1" applyFill="1" applyBorder="1" applyAlignment="1"/>
    <xf numFmtId="0" fontId="3" fillId="2" borderId="12" xfId="0" applyNumberFormat="1" applyFont="1" applyFill="1" applyBorder="1" applyAlignment="1">
      <alignment horizontal="center"/>
    </xf>
    <xf numFmtId="0" fontId="4" fillId="2" borderId="12" xfId="0" applyNumberFormat="1" applyFont="1" applyFill="1" applyBorder="1" applyAlignment="1"/>
    <xf numFmtId="0" fontId="2" fillId="2" borderId="12" xfId="0" applyNumberFormat="1" applyFont="1" applyFill="1" applyBorder="1" applyAlignment="1">
      <alignment horizontal="center"/>
    </xf>
    <xf numFmtId="0" fontId="12" fillId="2" borderId="13" xfId="0" applyNumberFormat="1" applyFont="1" applyFill="1" applyBorder="1" applyAlignment="1"/>
    <xf numFmtId="0" fontId="8" fillId="0" borderId="14" xfId="0" applyFont="1" applyBorder="1" applyAlignment="1"/>
    <xf numFmtId="0" fontId="34" fillId="2" borderId="13" xfId="0" applyNumberFormat="1" applyFont="1" applyFill="1" applyBorder="1" applyAlignment="1"/>
    <xf numFmtId="0" fontId="2" fillId="2" borderId="13" xfId="0" applyNumberFormat="1" applyFont="1" applyFill="1" applyBorder="1" applyAlignment="1"/>
    <xf numFmtId="0" fontId="5" fillId="2" borderId="12" xfId="0" applyNumberFormat="1" applyFont="1" applyFill="1" applyBorder="1" applyAlignment="1"/>
    <xf numFmtId="194" fontId="11" fillId="2" borderId="13" xfId="1" applyNumberFormat="1" applyFont="1" applyFill="1" applyBorder="1" applyAlignment="1">
      <alignment horizontal="center"/>
    </xf>
    <xf numFmtId="194" fontId="11" fillId="2" borderId="13" xfId="1" applyNumberFormat="1" applyFont="1" applyFill="1" applyBorder="1" applyAlignment="1"/>
    <xf numFmtId="0" fontId="5" fillId="2" borderId="13" xfId="0" applyNumberFormat="1" applyFont="1" applyFill="1" applyBorder="1" applyAlignment="1"/>
    <xf numFmtId="0" fontId="2" fillId="5" borderId="13" xfId="0" applyNumberFormat="1" applyFont="1" applyFill="1" applyBorder="1" applyAlignment="1"/>
    <xf numFmtId="0" fontId="2" fillId="2" borderId="15" xfId="0" applyNumberFormat="1" applyFont="1" applyFill="1" applyBorder="1" applyAlignment="1"/>
    <xf numFmtId="0" fontId="2" fillId="2" borderId="3" xfId="0" applyNumberFormat="1" applyFont="1" applyFill="1" applyBorder="1" applyAlignment="1"/>
    <xf numFmtId="194" fontId="2" fillId="2" borderId="3" xfId="1" applyNumberFormat="1" applyFont="1" applyFill="1" applyBorder="1" applyAlignment="1"/>
    <xf numFmtId="0" fontId="2" fillId="2" borderId="14" xfId="0" applyNumberFormat="1" applyFont="1" applyFill="1" applyBorder="1" applyAlignment="1"/>
    <xf numFmtId="0" fontId="5" fillId="4" borderId="0" xfId="0" applyNumberFormat="1" applyFont="1" applyFill="1" applyBorder="1" applyAlignment="1">
      <alignment horizontal="center" vertical="center"/>
    </xf>
    <xf numFmtId="0" fontId="5" fillId="4" borderId="13" xfId="0" applyNumberFormat="1" applyFont="1" applyFill="1" applyBorder="1" applyAlignment="1">
      <alignment horizontal="center" vertical="center"/>
    </xf>
    <xf numFmtId="0" fontId="5" fillId="4" borderId="0" xfId="0" applyNumberFormat="1" applyFont="1" applyFill="1" applyBorder="1" applyAlignment="1">
      <alignment horizontal="right"/>
    </xf>
    <xf numFmtId="0" fontId="36" fillId="4" borderId="5" xfId="0" applyNumberFormat="1" applyFont="1" applyFill="1" applyBorder="1" applyAlignment="1">
      <alignment horizontal="right" vertical="center" wrapText="1"/>
    </xf>
    <xf numFmtId="0" fontId="36" fillId="4" borderId="16" xfId="0" applyNumberFormat="1" applyFont="1" applyFill="1" applyBorder="1" applyAlignment="1">
      <alignment horizontal="right" vertical="center" wrapText="1"/>
    </xf>
    <xf numFmtId="0" fontId="36" fillId="4" borderId="0" xfId="0" applyNumberFormat="1" applyFont="1" applyFill="1" applyBorder="1" applyAlignment="1">
      <alignment horizontal="right" vertical="center" wrapText="1"/>
    </xf>
    <xf numFmtId="0" fontId="36" fillId="4" borderId="13" xfId="0" applyNumberFormat="1" applyFont="1" applyFill="1" applyBorder="1" applyAlignment="1">
      <alignment horizontal="right" vertical="center" wrapText="1"/>
    </xf>
    <xf numFmtId="0" fontId="16" fillId="4" borderId="0" xfId="0" applyNumberFormat="1" applyFont="1" applyFill="1" applyBorder="1" applyAlignment="1">
      <alignment horizontal="center" vertical="top"/>
    </xf>
    <xf numFmtId="0" fontId="16" fillId="4" borderId="13" xfId="0" applyNumberFormat="1" applyFont="1" applyFill="1" applyBorder="1" applyAlignment="1">
      <alignment horizontal="center" vertical="top"/>
    </xf>
    <xf numFmtId="49" fontId="4" fillId="2" borderId="5" xfId="0" applyNumberFormat="1" applyFont="1" applyFill="1" applyBorder="1" applyAlignment="1">
      <alignment horizontal="center"/>
    </xf>
    <xf numFmtId="49" fontId="4" fillId="2" borderId="16" xfId="0" applyNumberFormat="1" applyFont="1" applyFill="1" applyBorder="1" applyAlignment="1">
      <alignment horizontal="center"/>
    </xf>
    <xf numFmtId="0" fontId="17" fillId="4" borderId="0" xfId="0" applyNumberFormat="1" applyFont="1" applyFill="1" applyBorder="1" applyAlignment="1">
      <alignment horizontal="center" vertical="center"/>
    </xf>
    <xf numFmtId="0" fontId="17" fillId="4" borderId="13" xfId="0" applyNumberFormat="1" applyFont="1" applyFill="1" applyBorder="1" applyAlignment="1">
      <alignment horizontal="center" vertical="center"/>
    </xf>
    <xf numFmtId="0" fontId="17" fillId="4" borderId="8" xfId="0" applyNumberFormat="1" applyFont="1" applyFill="1" applyBorder="1" applyAlignment="1">
      <alignment horizontal="center" vertical="center"/>
    </xf>
    <xf numFmtId="0" fontId="17" fillId="4" borderId="17" xfId="0" applyNumberFormat="1" applyFont="1" applyFill="1" applyBorder="1" applyAlignment="1">
      <alignment horizontal="center" vertical="center"/>
    </xf>
    <xf numFmtId="14" fontId="14" fillId="2" borderId="5" xfId="0" applyNumberFormat="1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left"/>
    </xf>
    <xf numFmtId="194" fontId="18" fillId="2" borderId="5" xfId="1" applyNumberFormat="1" applyFont="1" applyFill="1" applyBorder="1" applyAlignment="1">
      <alignment horizontal="center"/>
    </xf>
    <xf numFmtId="194" fontId="18" fillId="2" borderId="16" xfId="1" applyNumberFormat="1" applyFont="1" applyFill="1" applyBorder="1" applyAlignment="1">
      <alignment horizontal="center"/>
    </xf>
    <xf numFmtId="194" fontId="18" fillId="2" borderId="0" xfId="1" applyNumberFormat="1" applyFont="1" applyFill="1" applyBorder="1" applyAlignment="1">
      <alignment horizontal="center"/>
    </xf>
    <xf numFmtId="194" fontId="18" fillId="2" borderId="13" xfId="1" applyNumberFormat="1" applyFont="1" applyFill="1" applyBorder="1" applyAlignment="1">
      <alignment horizontal="center"/>
    </xf>
    <xf numFmtId="194" fontId="18" fillId="2" borderId="8" xfId="1" applyNumberFormat="1" applyFont="1" applyFill="1" applyBorder="1" applyAlignment="1">
      <alignment horizontal="center"/>
    </xf>
    <xf numFmtId="194" fontId="18" fillId="2" borderId="17" xfId="1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left" vertical="center"/>
    </xf>
    <xf numFmtId="194" fontId="11" fillId="2" borderId="0" xfId="1" applyNumberFormat="1" applyFont="1" applyFill="1" applyBorder="1" applyAlignment="1">
      <alignment horizontal="center"/>
    </xf>
    <xf numFmtId="194" fontId="11" fillId="2" borderId="13" xfId="1" applyNumberFormat="1" applyFont="1" applyFill="1" applyBorder="1" applyAlignment="1">
      <alignment horizontal="center"/>
    </xf>
    <xf numFmtId="0" fontId="35" fillId="0" borderId="0" xfId="0" applyFont="1" applyBorder="1" applyAlignment="1">
      <alignment horizontal="left" vertical="top" wrapText="1"/>
    </xf>
    <xf numFmtId="0" fontId="14" fillId="2" borderId="0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FFFFFF"/>
      <rgbColor rgb="00C0C0C0"/>
      <rgbColor rgb="00FFFFFF"/>
      <rgbColor rgb="00E3E3E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319089</xdr:colOff>
      <xdr:row>1</xdr:row>
      <xdr:rowOff>316576</xdr:rowOff>
    </xdr:from>
    <xdr:to>
      <xdr:col>5</xdr:col>
      <xdr:colOff>1943524</xdr:colOff>
      <xdr:row>8</xdr:row>
      <xdr:rowOff>87643</xdr:rowOff>
    </xdr:to>
    <xdr:pic>
      <xdr:nvPicPr>
        <xdr:cNvPr id="2522" name="1 Imagen" descr="logo ATM´S grande.jpg">
          <a:extLst>
            <a:ext uri="{FF2B5EF4-FFF2-40B4-BE49-F238E27FC236}">
              <a16:creationId xmlns:a16="http://schemas.microsoft.com/office/drawing/2014/main" id="{99028C87-1CC9-4FB9-9875-3E5971114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66839" y="602326"/>
          <a:ext cx="6910810" cy="1969421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46C3-E24A-4623-9C0C-AB0DDC36884A}">
  <dimension ref="A1:Y53"/>
  <sheetViews>
    <sheetView showGridLines="0" tabSelected="1" zoomScale="40" zoomScaleNormal="40" workbookViewId="0">
      <selection activeCell="P11" sqref="P11"/>
    </sheetView>
  </sheetViews>
  <sheetFormatPr baseColWidth="10" defaultColWidth="10.25" defaultRowHeight="20.100000000000001" customHeight="1"/>
  <cols>
    <col min="1" max="1" width="5.75" style="1" customWidth="1"/>
    <col min="2" max="2" width="17.75" style="1" customWidth="1"/>
    <col min="3" max="3" width="12.5" style="1" customWidth="1"/>
    <col min="4" max="4" width="19.625" style="1" customWidth="1"/>
    <col min="5" max="5" width="19.5" style="1" customWidth="1"/>
    <col min="6" max="6" width="31.5" style="1" customWidth="1"/>
    <col min="7" max="7" width="45.25" style="1" customWidth="1"/>
    <col min="8" max="8" width="15.125" style="1" customWidth="1"/>
    <col min="9" max="9" width="29.125" style="1" customWidth="1"/>
    <col min="10" max="10" width="15.875" style="12" customWidth="1"/>
    <col min="11" max="11" width="21.875" style="1" customWidth="1"/>
    <col min="12" max="14" width="10.25" style="1"/>
    <col min="15" max="15" width="19.25" style="1" bestFit="1" customWidth="1"/>
    <col min="16" max="16" width="10.25" style="1"/>
    <col min="17" max="17" width="15.125" style="1" bestFit="1" customWidth="1"/>
    <col min="18" max="16384" width="10.25" style="1"/>
  </cols>
  <sheetData>
    <row r="1" spans="1:21" ht="22.5" customHeight="1" thickBot="1">
      <c r="A1" s="83"/>
      <c r="B1" s="84"/>
      <c r="C1" s="84"/>
      <c r="D1" s="84"/>
      <c r="E1" s="84"/>
      <c r="F1" s="84"/>
      <c r="G1" s="84"/>
      <c r="H1" s="84"/>
      <c r="I1" s="84"/>
      <c r="J1" s="85"/>
      <c r="K1" s="86"/>
    </row>
    <row r="2" spans="1:21" ht="27.75" customHeight="1">
      <c r="A2" s="87"/>
      <c r="B2" s="29"/>
      <c r="C2" s="30"/>
      <c r="D2" s="31"/>
      <c r="E2" s="32"/>
      <c r="F2" s="110" t="s">
        <v>14</v>
      </c>
      <c r="G2" s="110"/>
      <c r="H2" s="110"/>
      <c r="I2" s="110"/>
      <c r="J2" s="110"/>
      <c r="K2" s="111"/>
    </row>
    <row r="3" spans="1:21" ht="22.5" customHeight="1">
      <c r="A3" s="88"/>
      <c r="B3" s="33"/>
      <c r="C3" s="34"/>
      <c r="D3" s="19"/>
      <c r="E3" s="35"/>
      <c r="F3" s="112"/>
      <c r="G3" s="112"/>
      <c r="H3" s="112"/>
      <c r="I3" s="112"/>
      <c r="J3" s="112"/>
      <c r="K3" s="113"/>
    </row>
    <row r="4" spans="1:21" ht="27.75">
      <c r="A4" s="88"/>
      <c r="B4" s="33"/>
      <c r="C4" s="34"/>
      <c r="D4" s="19"/>
      <c r="E4" s="22"/>
      <c r="F4" s="112"/>
      <c r="G4" s="112"/>
      <c r="H4" s="112"/>
      <c r="I4" s="112"/>
      <c r="J4" s="112"/>
      <c r="K4" s="113"/>
    </row>
    <row r="5" spans="1:21" ht="27" customHeight="1">
      <c r="A5" s="88"/>
      <c r="B5" s="33"/>
      <c r="C5" s="34"/>
      <c r="D5" s="19"/>
      <c r="E5" s="22"/>
      <c r="F5" s="22"/>
      <c r="G5" s="107" t="s">
        <v>25</v>
      </c>
      <c r="H5" s="107"/>
      <c r="I5" s="107"/>
      <c r="J5" s="107"/>
      <c r="K5" s="108"/>
    </row>
    <row r="6" spans="1:21" ht="22.5" customHeight="1">
      <c r="A6" s="88"/>
      <c r="B6" s="33"/>
      <c r="C6" s="34"/>
      <c r="D6" s="20"/>
      <c r="E6" s="21"/>
      <c r="F6" s="21"/>
      <c r="G6" s="109" t="s">
        <v>9</v>
      </c>
      <c r="H6" s="109"/>
      <c r="I6" s="109"/>
      <c r="J6" s="55" t="s">
        <v>11</v>
      </c>
      <c r="K6" s="89"/>
    </row>
    <row r="7" spans="1:21" ht="22.5" customHeight="1">
      <c r="A7" s="88"/>
      <c r="B7" s="33"/>
      <c r="C7" s="34"/>
      <c r="D7" s="23"/>
      <c r="E7" s="24"/>
      <c r="F7" s="21"/>
      <c r="G7" s="109" t="s">
        <v>10</v>
      </c>
      <c r="H7" s="109"/>
      <c r="I7" s="109"/>
      <c r="J7" s="56" t="s">
        <v>27</v>
      </c>
      <c r="K7" s="90"/>
    </row>
    <row r="8" spans="1:21" ht="22.5" customHeight="1">
      <c r="A8" s="88"/>
      <c r="B8" s="33"/>
      <c r="C8" s="21"/>
      <c r="D8" s="24"/>
      <c r="E8" s="24"/>
      <c r="F8" s="25"/>
      <c r="G8" s="118" t="s">
        <v>26</v>
      </c>
      <c r="H8" s="118"/>
      <c r="I8" s="118"/>
      <c r="J8" s="118"/>
      <c r="K8" s="119"/>
    </row>
    <row r="9" spans="1:21" ht="22.5" customHeight="1">
      <c r="A9" s="91"/>
      <c r="B9" s="33"/>
      <c r="C9" s="36"/>
      <c r="D9" s="36"/>
      <c r="E9" s="36"/>
      <c r="F9" s="25"/>
      <c r="G9" s="118"/>
      <c r="H9" s="118"/>
      <c r="I9" s="118"/>
      <c r="J9" s="118"/>
      <c r="K9" s="119"/>
    </row>
    <row r="10" spans="1:21" ht="26.25" customHeight="1" thickBot="1">
      <c r="A10" s="87"/>
      <c r="B10" s="37"/>
      <c r="C10" s="38"/>
      <c r="D10" s="38"/>
      <c r="E10" s="38"/>
      <c r="F10" s="39"/>
      <c r="G10" s="120"/>
      <c r="H10" s="120"/>
      <c r="I10" s="120"/>
      <c r="J10" s="120"/>
      <c r="K10" s="121"/>
    </row>
    <row r="11" spans="1:21" ht="61.5" customHeight="1">
      <c r="A11" s="92"/>
      <c r="B11" s="5" t="s">
        <v>12</v>
      </c>
      <c r="C11" s="122">
        <f ca="1">TODAY()</f>
        <v>46191</v>
      </c>
      <c r="D11" s="122"/>
      <c r="E11" s="40"/>
      <c r="F11" s="40"/>
      <c r="G11" s="28" t="s">
        <v>0</v>
      </c>
      <c r="H11" s="28"/>
      <c r="I11" s="116" t="s">
        <v>40</v>
      </c>
      <c r="J11" s="116"/>
      <c r="K11" s="117"/>
      <c r="P11" s="17"/>
      <c r="Q11" s="17"/>
      <c r="R11" s="17"/>
      <c r="S11" s="17"/>
      <c r="T11" s="17"/>
      <c r="U11" s="17"/>
    </row>
    <row r="12" spans="1:21" ht="22.5" customHeight="1">
      <c r="A12" s="93"/>
      <c r="B12" s="2"/>
      <c r="C12" s="2"/>
      <c r="D12" s="2"/>
      <c r="E12" s="2"/>
      <c r="F12" s="2"/>
      <c r="G12" s="2"/>
      <c r="H12" s="2"/>
      <c r="I12" s="2"/>
      <c r="J12" s="15"/>
      <c r="K12" s="94"/>
      <c r="P12" s="17"/>
      <c r="Q12" s="17"/>
      <c r="R12" s="17"/>
      <c r="S12" s="17"/>
      <c r="T12" s="17"/>
      <c r="U12" s="17"/>
    </row>
    <row r="13" spans="1:21" ht="26.25">
      <c r="A13" s="91"/>
      <c r="B13" s="5" t="s">
        <v>1</v>
      </c>
      <c r="C13" s="10" t="s">
        <v>29</v>
      </c>
      <c r="D13" s="11"/>
      <c r="E13" s="41"/>
      <c r="F13" s="41"/>
      <c r="G13" s="5" t="s">
        <v>18</v>
      </c>
      <c r="H13" s="10"/>
      <c r="I13" s="10"/>
      <c r="J13" s="10"/>
      <c r="K13" s="95"/>
      <c r="P13" s="17"/>
      <c r="Q13" s="17"/>
      <c r="R13" s="17"/>
    </row>
    <row r="14" spans="1:21" ht="22.5" customHeight="1">
      <c r="A14" s="87"/>
      <c r="B14" s="2"/>
      <c r="C14" s="2"/>
      <c r="D14" s="2"/>
      <c r="E14" s="2"/>
      <c r="F14" s="2"/>
      <c r="G14" s="5"/>
      <c r="H14" s="42"/>
      <c r="I14" s="2"/>
      <c r="J14" s="14"/>
      <c r="K14" s="96"/>
      <c r="P14" s="17"/>
      <c r="R14" s="17"/>
    </row>
    <row r="15" spans="1:21" ht="25.5" customHeight="1">
      <c r="A15" s="87"/>
      <c r="B15" s="5" t="s">
        <v>13</v>
      </c>
      <c r="C15" s="10" t="s">
        <v>39</v>
      </c>
      <c r="D15" s="10"/>
      <c r="E15" s="10"/>
      <c r="F15" s="41"/>
      <c r="G15" s="5" t="s">
        <v>19</v>
      </c>
      <c r="H15" s="10"/>
      <c r="I15" s="10"/>
      <c r="J15" s="10"/>
      <c r="K15" s="95"/>
      <c r="P15" s="17"/>
      <c r="Q15" s="17"/>
      <c r="R15" s="17"/>
      <c r="S15" s="17"/>
      <c r="T15" s="17"/>
      <c r="U15" s="17"/>
    </row>
    <row r="16" spans="1:21" ht="22.5" customHeight="1">
      <c r="A16" s="87"/>
      <c r="B16" s="2"/>
      <c r="C16" s="44"/>
      <c r="D16" s="2"/>
      <c r="E16" s="2"/>
      <c r="F16" s="2"/>
      <c r="G16" s="2"/>
      <c r="H16" s="2"/>
      <c r="I16" s="2"/>
      <c r="J16" s="14"/>
      <c r="K16" s="96"/>
    </row>
    <row r="17" spans="1:25" ht="22.5" customHeight="1">
      <c r="A17" s="87"/>
      <c r="B17" s="2"/>
      <c r="C17" s="130"/>
      <c r="D17" s="130"/>
      <c r="E17" s="130"/>
      <c r="F17" s="130"/>
      <c r="G17" s="2"/>
      <c r="H17" s="2"/>
      <c r="I17" s="2"/>
      <c r="J17" s="14"/>
      <c r="K17" s="96"/>
    </row>
    <row r="18" spans="1:25" ht="22.5" customHeight="1">
      <c r="A18" s="87"/>
      <c r="B18" s="2"/>
      <c r="C18" s="2"/>
      <c r="D18" s="2"/>
      <c r="E18" s="2"/>
      <c r="F18" s="2"/>
      <c r="G18" s="2"/>
      <c r="H18" s="2"/>
      <c r="I18" s="2"/>
      <c r="J18" s="13"/>
      <c r="K18" s="97"/>
    </row>
    <row r="19" spans="1:25" ht="22.5" customHeight="1">
      <c r="A19" s="87"/>
      <c r="B19" s="2"/>
      <c r="C19" s="2"/>
      <c r="D19" s="2"/>
      <c r="E19" s="2"/>
      <c r="F19" s="2"/>
      <c r="G19" s="2"/>
      <c r="H19" s="2"/>
      <c r="I19" s="2"/>
      <c r="J19" s="13"/>
      <c r="K19" s="97"/>
      <c r="Y19" s="43"/>
    </row>
    <row r="20" spans="1:25" ht="39" customHeight="1">
      <c r="A20" s="87"/>
      <c r="B20" s="80" t="s">
        <v>0</v>
      </c>
      <c r="C20" s="114" t="s">
        <v>3</v>
      </c>
      <c r="D20" s="114"/>
      <c r="E20" s="114"/>
      <c r="F20" s="114"/>
      <c r="G20" s="114"/>
      <c r="H20" s="80" t="s">
        <v>2</v>
      </c>
      <c r="I20" s="80" t="s">
        <v>4</v>
      </c>
      <c r="J20" s="114" t="s">
        <v>5</v>
      </c>
      <c r="K20" s="115"/>
    </row>
    <row r="21" spans="1:25" ht="42" customHeight="1">
      <c r="A21" s="87"/>
      <c r="B21" s="51"/>
      <c r="C21" s="67"/>
      <c r="D21" s="133" t="s">
        <v>36</v>
      </c>
      <c r="E21" s="133"/>
      <c r="F21" s="133"/>
      <c r="G21" s="133"/>
      <c r="H21" s="16"/>
      <c r="I21" s="52"/>
      <c r="J21" s="52"/>
      <c r="K21" s="97"/>
      <c r="O21" s="75"/>
      <c r="X21" s="48"/>
    </row>
    <row r="22" spans="1:25" s="9" customFormat="1" ht="31.15" customHeight="1">
      <c r="A22" s="98"/>
      <c r="B22" s="64"/>
      <c r="C22" s="69"/>
      <c r="D22" s="77" t="s">
        <v>37</v>
      </c>
      <c r="E22" s="68"/>
      <c r="F22" s="68"/>
      <c r="G22" s="68"/>
      <c r="H22" s="66"/>
      <c r="I22" s="53"/>
      <c r="J22" s="131"/>
      <c r="K22" s="132"/>
      <c r="X22" s="48"/>
    </row>
    <row r="23" spans="1:25" s="9" customFormat="1" ht="28.5" customHeight="1">
      <c r="A23" s="98"/>
      <c r="B23" s="64"/>
      <c r="C23" s="70"/>
      <c r="D23" s="77" t="s">
        <v>38</v>
      </c>
      <c r="E23" s="68"/>
      <c r="F23" s="68"/>
      <c r="G23" s="68"/>
      <c r="H23" s="65"/>
      <c r="I23" s="53"/>
      <c r="J23" s="131"/>
      <c r="K23" s="132"/>
      <c r="X23" s="48"/>
    </row>
    <row r="24" spans="1:25" s="9" customFormat="1" ht="27.6" customHeight="1">
      <c r="A24" s="98"/>
      <c r="B24" s="64"/>
      <c r="C24" s="71"/>
      <c r="D24" s="72"/>
      <c r="E24" s="73"/>
      <c r="F24" s="73"/>
      <c r="G24" s="73"/>
      <c r="H24" s="74"/>
      <c r="I24" s="53"/>
      <c r="J24" s="53"/>
      <c r="K24" s="99"/>
      <c r="O24" s="78"/>
      <c r="X24" s="48"/>
    </row>
    <row r="25" spans="1:25" s="9" customFormat="1" ht="27.6" customHeight="1">
      <c r="A25" s="98"/>
      <c r="B25" s="64">
        <v>1</v>
      </c>
      <c r="C25" s="71" t="s">
        <v>31</v>
      </c>
      <c r="D25" s="72"/>
      <c r="E25" s="73"/>
      <c r="F25" s="73"/>
      <c r="G25" s="73"/>
      <c r="H25" s="74">
        <v>1</v>
      </c>
      <c r="I25" s="53">
        <v>37924</v>
      </c>
      <c r="J25" s="53"/>
      <c r="K25" s="99">
        <v>37924</v>
      </c>
      <c r="O25" s="76"/>
      <c r="X25" s="48"/>
    </row>
    <row r="26" spans="1:25" s="9" customFormat="1" ht="27" customHeight="1">
      <c r="A26" s="98"/>
      <c r="B26" s="64"/>
      <c r="C26" s="71"/>
      <c r="D26" s="72"/>
      <c r="E26" s="73"/>
      <c r="F26" s="73"/>
      <c r="G26" s="73"/>
      <c r="H26" s="74"/>
      <c r="I26" s="53"/>
      <c r="J26" s="53"/>
      <c r="K26" s="99"/>
      <c r="O26" s="76"/>
      <c r="X26" s="48"/>
    </row>
    <row r="27" spans="1:25" s="9" customFormat="1" ht="27.6" customHeight="1">
      <c r="A27" s="98"/>
      <c r="B27" s="64">
        <v>2</v>
      </c>
      <c r="C27" s="71" t="s">
        <v>34</v>
      </c>
      <c r="D27" s="72"/>
      <c r="E27" s="73"/>
      <c r="F27" s="73"/>
      <c r="G27" s="73"/>
      <c r="H27" s="74">
        <v>1</v>
      </c>
      <c r="I27" s="53">
        <v>46483</v>
      </c>
      <c r="J27" s="53"/>
      <c r="K27" s="99">
        <v>46483</v>
      </c>
      <c r="O27" s="76"/>
      <c r="X27" s="48"/>
    </row>
    <row r="28" spans="1:25" s="9" customFormat="1" ht="27.6" customHeight="1">
      <c r="A28" s="98"/>
      <c r="B28" s="64"/>
      <c r="C28" s="71"/>
      <c r="D28" s="72"/>
      <c r="E28" s="73"/>
      <c r="F28" s="73"/>
      <c r="G28" s="73"/>
      <c r="H28" s="74"/>
      <c r="I28" s="53"/>
      <c r="J28" s="53"/>
      <c r="K28" s="99"/>
      <c r="O28" s="76"/>
      <c r="X28" s="48"/>
    </row>
    <row r="29" spans="1:25" s="9" customFormat="1" ht="27.6" customHeight="1">
      <c r="A29" s="98"/>
      <c r="B29" s="64">
        <v>3</v>
      </c>
      <c r="C29" s="71" t="s">
        <v>32</v>
      </c>
      <c r="D29" s="72"/>
      <c r="E29" s="73"/>
      <c r="F29" s="73"/>
      <c r="G29" s="73"/>
      <c r="H29" s="74">
        <v>1</v>
      </c>
      <c r="I29" s="53">
        <v>350141</v>
      </c>
      <c r="J29" s="53"/>
      <c r="K29" s="99">
        <v>350141</v>
      </c>
      <c r="O29" s="76"/>
      <c r="X29" s="48"/>
    </row>
    <row r="30" spans="1:25" s="9" customFormat="1" ht="27.6" customHeight="1">
      <c r="A30" s="98"/>
      <c r="B30" s="64"/>
      <c r="C30" s="71"/>
      <c r="D30" s="72"/>
      <c r="E30" s="73"/>
      <c r="F30" s="73"/>
      <c r="G30" s="73"/>
      <c r="H30" s="74"/>
      <c r="I30" s="53"/>
      <c r="J30" s="53"/>
      <c r="K30" s="99"/>
      <c r="O30" s="76"/>
      <c r="X30" s="48"/>
    </row>
    <row r="31" spans="1:25" s="9" customFormat="1" ht="27.6" customHeight="1">
      <c r="A31" s="98"/>
      <c r="B31" s="64">
        <v>4</v>
      </c>
      <c r="C31" s="81" t="s">
        <v>30</v>
      </c>
      <c r="D31" s="81"/>
      <c r="E31" s="16"/>
      <c r="F31" s="16"/>
      <c r="G31" s="16"/>
      <c r="H31" s="65">
        <v>1</v>
      </c>
      <c r="I31" s="53">
        <v>139000</v>
      </c>
      <c r="J31" s="82"/>
      <c r="K31" s="100">
        <v>139000</v>
      </c>
      <c r="X31" s="48"/>
    </row>
    <row r="32" spans="1:25" s="9" customFormat="1" ht="27.6" customHeight="1">
      <c r="A32" s="98"/>
      <c r="B32" s="64"/>
      <c r="C32" s="81"/>
      <c r="D32" s="81"/>
      <c r="E32" s="16"/>
      <c r="F32" s="16"/>
      <c r="G32" s="16"/>
      <c r="H32" s="65"/>
      <c r="I32" s="53"/>
      <c r="J32" s="82"/>
      <c r="K32" s="100"/>
      <c r="X32" s="48"/>
    </row>
    <row r="33" spans="1:24" s="9" customFormat="1" ht="27.6" customHeight="1">
      <c r="A33" s="98"/>
      <c r="B33" s="64">
        <v>5</v>
      </c>
      <c r="C33" s="81" t="s">
        <v>35</v>
      </c>
      <c r="D33" s="81"/>
      <c r="E33" s="16"/>
      <c r="F33" s="16"/>
      <c r="G33" s="16"/>
      <c r="H33" s="65">
        <v>1</v>
      </c>
      <c r="I33" s="53">
        <v>180000</v>
      </c>
      <c r="J33" s="82"/>
      <c r="K33" s="100">
        <v>180000</v>
      </c>
      <c r="X33" s="48"/>
    </row>
    <row r="34" spans="1:24" s="9" customFormat="1" ht="27.6" customHeight="1">
      <c r="A34" s="98"/>
      <c r="B34" s="64"/>
      <c r="C34" s="81"/>
      <c r="D34" s="81"/>
      <c r="E34" s="16"/>
      <c r="F34" s="16"/>
      <c r="G34" s="16"/>
      <c r="H34" s="65"/>
      <c r="I34" s="53"/>
      <c r="J34" s="82"/>
      <c r="K34" s="100"/>
      <c r="X34" s="48"/>
    </row>
    <row r="35" spans="1:24" s="9" customFormat="1" ht="27.75" customHeight="1">
      <c r="A35" s="98"/>
      <c r="B35" s="64"/>
      <c r="C35" s="71" t="s">
        <v>33</v>
      </c>
      <c r="D35" s="71"/>
      <c r="E35" s="71"/>
      <c r="F35" s="71"/>
      <c r="G35" s="71"/>
      <c r="H35" s="65"/>
      <c r="I35" s="53"/>
      <c r="J35" s="50"/>
      <c r="K35" s="101"/>
      <c r="X35" s="48"/>
    </row>
    <row r="36" spans="1:24" s="9" customFormat="1" ht="27.75" customHeight="1">
      <c r="A36" s="98"/>
      <c r="B36" s="64"/>
      <c r="C36" s="71"/>
      <c r="D36" s="71"/>
      <c r="E36" s="71"/>
      <c r="F36" s="71"/>
      <c r="G36" s="71"/>
      <c r="H36" s="65"/>
      <c r="I36" s="53"/>
      <c r="J36" s="50"/>
      <c r="K36" s="101"/>
      <c r="X36" s="48"/>
    </row>
    <row r="37" spans="1:24" s="9" customFormat="1" ht="27.75" customHeight="1" thickBot="1">
      <c r="A37" s="98"/>
      <c r="B37" s="64"/>
      <c r="C37" s="54"/>
      <c r="D37" s="54"/>
      <c r="E37" s="16"/>
      <c r="F37" s="16"/>
      <c r="G37" s="16"/>
      <c r="H37" s="65"/>
      <c r="I37" s="53"/>
      <c r="J37" s="53"/>
      <c r="K37" s="101"/>
      <c r="X37" s="48"/>
    </row>
    <row r="38" spans="1:24" s="9" customFormat="1" ht="30">
      <c r="A38" s="98"/>
      <c r="B38" s="134" t="s">
        <v>20</v>
      </c>
      <c r="C38" s="134"/>
      <c r="D38" s="45" t="s">
        <v>22</v>
      </c>
      <c r="E38" s="45"/>
      <c r="F38" s="45" t="s">
        <v>23</v>
      </c>
      <c r="G38" s="7"/>
      <c r="H38" s="45"/>
      <c r="I38" s="61" t="s">
        <v>15</v>
      </c>
      <c r="J38" s="124">
        <f>SUM(J22:K37)</f>
        <v>753548</v>
      </c>
      <c r="K38" s="125"/>
      <c r="X38" s="7"/>
    </row>
    <row r="39" spans="1:24" s="9" customFormat="1" ht="30">
      <c r="A39" s="98"/>
      <c r="B39" s="18"/>
      <c r="C39" s="45"/>
      <c r="D39" s="45" t="s">
        <v>21</v>
      </c>
      <c r="E39" s="45"/>
      <c r="F39" s="45" t="s">
        <v>24</v>
      </c>
      <c r="G39" s="7"/>
      <c r="H39" s="45"/>
      <c r="I39" s="62" t="s">
        <v>6</v>
      </c>
      <c r="J39" s="126">
        <f>+J38*19%</f>
        <v>143174.12</v>
      </c>
      <c r="K39" s="127"/>
      <c r="X39" s="7"/>
    </row>
    <row r="40" spans="1:24" s="9" customFormat="1" ht="30.75" thickBot="1">
      <c r="A40" s="98"/>
      <c r="B40" s="18"/>
      <c r="C40" s="45"/>
      <c r="D40" s="45"/>
      <c r="E40" s="7"/>
      <c r="F40" s="7"/>
      <c r="G40" s="7"/>
      <c r="H40" s="45"/>
      <c r="I40" s="63" t="s">
        <v>16</v>
      </c>
      <c r="J40" s="128">
        <f>SUM(J38:K39)</f>
        <v>896722.12</v>
      </c>
      <c r="K40" s="129"/>
      <c r="X40" s="7"/>
    </row>
    <row r="41" spans="1:24" s="9" customFormat="1" ht="22.5" customHeight="1">
      <c r="A41" s="98"/>
      <c r="B41" s="18"/>
      <c r="C41" s="45"/>
      <c r="D41" s="7"/>
      <c r="E41" s="7"/>
      <c r="F41" s="7"/>
      <c r="G41" s="7"/>
      <c r="H41" s="7"/>
      <c r="I41" s="49"/>
      <c r="J41" s="50"/>
      <c r="K41" s="101"/>
      <c r="X41" s="7"/>
    </row>
    <row r="42" spans="1:24" s="9" customFormat="1" ht="3.75" customHeight="1">
      <c r="A42" s="98"/>
      <c r="B42" s="57"/>
      <c r="C42" s="123"/>
      <c r="D42" s="123"/>
      <c r="E42" s="123"/>
      <c r="F42" s="123"/>
      <c r="G42" s="123"/>
      <c r="H42" s="123"/>
      <c r="I42" s="123"/>
      <c r="J42" s="58"/>
      <c r="K42" s="101"/>
      <c r="X42" s="7"/>
    </row>
    <row r="43" spans="1:24" s="9" customFormat="1" ht="23.25" customHeight="1">
      <c r="A43" s="98"/>
      <c r="B43" s="57"/>
      <c r="C43" s="123"/>
      <c r="D43" s="123"/>
      <c r="E43" s="123"/>
      <c r="F43" s="123"/>
      <c r="G43" s="123"/>
      <c r="H43" s="79"/>
      <c r="I43" s="59"/>
      <c r="J43" s="58"/>
      <c r="K43" s="101"/>
      <c r="X43" s="7"/>
    </row>
    <row r="44" spans="1:24" ht="25.5" customHeight="1">
      <c r="A44" s="87"/>
      <c r="B44" s="2"/>
      <c r="C44" s="2"/>
      <c r="D44" s="2"/>
      <c r="E44" s="2"/>
      <c r="F44" s="7"/>
      <c r="G44" s="43"/>
      <c r="H44" s="43"/>
      <c r="I44" s="2"/>
      <c r="J44" s="60"/>
      <c r="K44" s="97"/>
    </row>
    <row r="45" spans="1:24" ht="22.5" customHeight="1">
      <c r="A45" s="87"/>
      <c r="B45" s="2"/>
      <c r="C45" s="2"/>
      <c r="D45" s="2"/>
      <c r="E45" s="2"/>
      <c r="F45" s="2"/>
      <c r="G45" s="46"/>
      <c r="H45" s="46"/>
      <c r="I45" s="2"/>
      <c r="J45" s="60"/>
      <c r="K45" s="97"/>
    </row>
    <row r="46" spans="1:24" ht="36" customHeight="1">
      <c r="A46" s="87"/>
      <c r="B46" s="2"/>
      <c r="C46" s="2"/>
      <c r="D46" s="2"/>
      <c r="E46" s="2"/>
      <c r="F46" s="7" t="s">
        <v>7</v>
      </c>
      <c r="G46" s="8" t="s">
        <v>8</v>
      </c>
      <c r="H46" s="47"/>
      <c r="I46" s="2"/>
      <c r="J46" s="13"/>
      <c r="K46" s="97"/>
    </row>
    <row r="47" spans="1:24" ht="22.5" customHeight="1">
      <c r="A47" s="87"/>
      <c r="B47" s="2"/>
      <c r="C47" s="2"/>
      <c r="D47" s="2"/>
      <c r="E47" s="2"/>
      <c r="F47" s="2"/>
      <c r="G47" s="6"/>
      <c r="H47" s="2"/>
      <c r="I47" s="2"/>
      <c r="J47" s="13"/>
      <c r="K47" s="97"/>
    </row>
    <row r="48" spans="1:24" ht="22.5" customHeight="1">
      <c r="A48" s="87"/>
      <c r="B48" s="4"/>
      <c r="C48" s="2"/>
      <c r="D48" s="2"/>
      <c r="E48" s="2"/>
      <c r="F48" s="2"/>
      <c r="G48" s="2"/>
      <c r="H48" s="2"/>
      <c r="I48" s="3"/>
      <c r="J48" s="13"/>
      <c r="K48" s="97"/>
    </row>
    <row r="49" spans="1:11" ht="22.5" customHeight="1">
      <c r="A49" s="87"/>
      <c r="B49" s="26"/>
      <c r="C49" s="26"/>
      <c r="D49" s="26"/>
      <c r="E49" s="26"/>
      <c r="F49" s="26"/>
      <c r="G49" s="26"/>
      <c r="H49" s="26"/>
      <c r="I49" s="26"/>
      <c r="J49" s="27"/>
      <c r="K49" s="102"/>
    </row>
    <row r="50" spans="1:11" ht="22.5" customHeight="1">
      <c r="A50" s="87"/>
      <c r="B50" s="45" t="s">
        <v>17</v>
      </c>
      <c r="C50" s="45"/>
      <c r="D50" s="2"/>
      <c r="E50" s="2"/>
      <c r="F50" s="2"/>
      <c r="G50" s="2"/>
      <c r="H50" s="2"/>
      <c r="I50" s="2"/>
      <c r="J50" s="13"/>
      <c r="K50" s="97"/>
    </row>
    <row r="51" spans="1:11" ht="22.5" customHeight="1">
      <c r="A51" s="87"/>
      <c r="B51" s="45" t="s">
        <v>28</v>
      </c>
      <c r="C51" s="45"/>
      <c r="D51" s="2"/>
      <c r="E51" s="2"/>
      <c r="F51" s="2"/>
      <c r="G51" s="2"/>
      <c r="H51" s="2"/>
      <c r="I51" s="2"/>
      <c r="J51" s="13"/>
      <c r="K51" s="97"/>
    </row>
    <row r="52" spans="1:11" ht="22.5" customHeight="1">
      <c r="A52" s="87"/>
      <c r="B52" s="2"/>
      <c r="C52" s="2"/>
      <c r="D52" s="2"/>
      <c r="E52" s="2"/>
      <c r="F52" s="2"/>
      <c r="G52" s="2"/>
      <c r="H52" s="2"/>
      <c r="I52" s="2"/>
      <c r="J52" s="13"/>
      <c r="K52" s="97"/>
    </row>
    <row r="53" spans="1:11" ht="22.5" customHeight="1">
      <c r="A53" s="103"/>
      <c r="B53" s="104"/>
      <c r="C53" s="104"/>
      <c r="D53" s="104"/>
      <c r="E53" s="104"/>
      <c r="F53" s="104"/>
      <c r="G53" s="104"/>
      <c r="H53" s="104"/>
      <c r="I53" s="104"/>
      <c r="J53" s="105"/>
      <c r="K53" s="106"/>
    </row>
  </sheetData>
  <mergeCells count="19">
    <mergeCell ref="C43:G43"/>
    <mergeCell ref="J38:K38"/>
    <mergeCell ref="J39:K39"/>
    <mergeCell ref="J40:K40"/>
    <mergeCell ref="C17:F17"/>
    <mergeCell ref="J23:K23"/>
    <mergeCell ref="D21:G21"/>
    <mergeCell ref="C42:I42"/>
    <mergeCell ref="B38:C38"/>
    <mergeCell ref="J22:K22"/>
    <mergeCell ref="G5:K5"/>
    <mergeCell ref="G6:I6"/>
    <mergeCell ref="G7:I7"/>
    <mergeCell ref="F2:K4"/>
    <mergeCell ref="J20:K20"/>
    <mergeCell ref="I11:K11"/>
    <mergeCell ref="G8:K10"/>
    <mergeCell ref="C20:G20"/>
    <mergeCell ref="C11:D11"/>
  </mergeCells>
  <phoneticPr fontId="7" type="noConversion"/>
  <pageMargins left="0.74803149606299213" right="0.74803149606299213" top="1.2204724409448819" bottom="0.98425196850393704" header="0" footer="0"/>
  <pageSetup scale="35" orientation="portrait" useFirstPageNumber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 de ATM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Ordenes de Compras</dc:title>
  <dc:creator>Planificación y Control</dc:creator>
  <cp:lastModifiedBy>ADMIN</cp:lastModifiedBy>
  <cp:lastPrinted>2026-05-27T15:20:42Z</cp:lastPrinted>
  <dcterms:created xsi:type="dcterms:W3CDTF">2012-05-02T13:37:42Z</dcterms:created>
  <dcterms:modified xsi:type="dcterms:W3CDTF">2026-06-18T20:27:29Z</dcterms:modified>
</cp:coreProperties>
</file>